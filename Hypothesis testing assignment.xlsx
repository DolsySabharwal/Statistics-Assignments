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 LAPTOP\Desktop\"/>
    </mc:Choice>
  </mc:AlternateContent>
  <xr:revisionPtr revIDLastSave="0" documentId="13_ncr:1_{8AE9FD22-60D4-4236-B677-C3E823C154B3}" xr6:coauthVersionLast="47" xr6:coauthVersionMax="47" xr10:uidLastSave="{00000000-0000-0000-0000-000000000000}"/>
  <bookViews>
    <workbookView xWindow="-108" yWindow="-108" windowWidth="23256" windowHeight="12456" xr2:uid="{673F7A62-02A3-4A89-8B8F-BE22203D76C5}"/>
  </bookViews>
  <sheets>
    <sheet name="Q1" sheetId="1" r:id="rId1"/>
    <sheet name="Q2" sheetId="2" r:id="rId2"/>
    <sheet name="Q3" sheetId="3" r:id="rId3"/>
    <sheet name="Q4" sheetId="4" r:id="rId4"/>
    <sheet name="Q5" sheetId="5" r:id="rId5"/>
    <sheet name="Q6" sheetId="6" r:id="rId6"/>
    <sheet name="Q7" sheetId="7" r:id="rId7"/>
    <sheet name="Q8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9" i="8" l="1"/>
  <c r="F28" i="8"/>
  <c r="G26" i="8"/>
  <c r="G25" i="8"/>
  <c r="F26" i="8"/>
  <c r="F25" i="8"/>
  <c r="E17" i="8"/>
  <c r="E16" i="8"/>
  <c r="D17" i="8"/>
  <c r="D16" i="8"/>
  <c r="D18" i="7"/>
  <c r="D17" i="7"/>
  <c r="D16" i="7"/>
  <c r="I10" i="7"/>
  <c r="I9" i="7"/>
  <c r="I8" i="7"/>
  <c r="F13" i="7"/>
  <c r="F12" i="7"/>
  <c r="F11" i="7"/>
  <c r="F10" i="7"/>
  <c r="F9" i="7"/>
  <c r="F8" i="7"/>
  <c r="D19" i="5"/>
  <c r="D18" i="5" l="1"/>
</calcChain>
</file>

<file path=xl/sharedStrings.xml><?xml version="1.0" encoding="utf-8"?>
<sst xmlns="http://schemas.openxmlformats.org/spreadsheetml/2006/main" count="115" uniqueCount="97">
  <si>
    <t>Question 1</t>
  </si>
  <si>
    <t>What is a null hypothesis (H₀) and why is it important in hypothesis testing?</t>
  </si>
  <si>
    <t>Answer</t>
  </si>
  <si>
    <t>Question 2</t>
  </si>
  <si>
    <t>What does the significance level (α) represent in hypothesis testing?</t>
  </si>
  <si>
    <r>
      <t xml:space="preserve">The null hypothesis (H₀) is a statement that assumes </t>
    </r>
    <r>
      <rPr>
        <b/>
        <sz val="11"/>
        <color theme="1"/>
        <rFont val="Aptos Narrow"/>
        <family val="2"/>
        <scheme val="minor"/>
      </rPr>
      <t>no effect, no difference, or no relationship</t>
    </r>
    <r>
      <rPr>
        <sz val="11"/>
        <color theme="1"/>
        <rFont val="Aptos Narrow"/>
        <family val="2"/>
        <scheme val="minor"/>
      </rPr>
      <t xml:space="preserve"> between variables.</t>
    </r>
  </si>
  <si>
    <t>It represents the default position that any observed change in the data is due to random chance.</t>
  </si>
  <si>
    <r>
      <t xml:space="preserve">The importance of the null hypothesis lies in the fact that it provides a </t>
    </r>
    <r>
      <rPr>
        <b/>
        <sz val="11"/>
        <color theme="1"/>
        <rFont val="Aptos Narrow"/>
        <family val="2"/>
        <scheme val="minor"/>
      </rPr>
      <t>basis for statistical testing</t>
    </r>
    <r>
      <rPr>
        <sz val="11"/>
        <color theme="1"/>
        <rFont val="Aptos Narrow"/>
        <family val="2"/>
        <scheme val="minor"/>
      </rPr>
      <t>.</t>
    </r>
  </si>
  <si>
    <t>All hypothesis tests are designed to evaluate whether there is enough evidence to reject the null hypothesis. Without H₀, it would not be possible to make objective decisions using data.</t>
  </si>
  <si>
    <t>The significance level (α) is the maximum probability of rejecting the null hypothesis when it is actually true. In other words, it represents the risk of making a Type I error.</t>
  </si>
  <si>
    <r>
      <t xml:space="preserve">Commonly used significance levels are </t>
    </r>
    <r>
      <rPr>
        <b/>
        <sz val="11"/>
        <color theme="1"/>
        <rFont val="Aptos Narrow"/>
        <family val="2"/>
        <scheme val="minor"/>
      </rPr>
      <t>0.05 (5%)</t>
    </r>
    <r>
      <rPr>
        <sz val="11"/>
        <color theme="1"/>
        <rFont val="Aptos Narrow"/>
        <family val="2"/>
        <scheme val="minor"/>
      </rPr>
      <t xml:space="preserve"> and </t>
    </r>
    <r>
      <rPr>
        <b/>
        <sz val="11"/>
        <color theme="1"/>
        <rFont val="Aptos Narrow"/>
        <family val="2"/>
        <scheme val="minor"/>
      </rPr>
      <t>0.01 (1%)</t>
    </r>
    <r>
      <rPr>
        <sz val="11"/>
        <color theme="1"/>
        <rFont val="Aptos Narrow"/>
        <family val="2"/>
        <scheme val="minor"/>
      </rPr>
      <t>. A significance level of 0.05 means that we are willing to accept a 5% chance of making an incorrect decision while rejecting the null hypothesis.</t>
    </r>
  </si>
  <si>
    <t>Question 3</t>
  </si>
  <si>
    <t>Differentiate between Type I and Type II errors.</t>
  </si>
  <si>
    <r>
      <t>Type I Error:</t>
    </r>
    <r>
      <rPr>
        <sz val="11"/>
        <color theme="1"/>
        <rFont val="Aptos Narrow"/>
        <family val="2"/>
        <scheme val="minor"/>
      </rPr>
      <t xml:space="preserve"> Occurs when the null hypothesis is rejected even though it is true.</t>
    </r>
  </si>
  <si>
    <r>
      <t>Type II Error:</t>
    </r>
    <r>
      <rPr>
        <sz val="11"/>
        <color theme="1"/>
        <rFont val="Aptos Narrow"/>
        <family val="2"/>
        <scheme val="minor"/>
      </rPr>
      <t xml:space="preserve"> Occurs when the null hypothesis is not rejected even though it is false.</t>
    </r>
  </si>
  <si>
    <t>Error Type</t>
  </si>
  <si>
    <t>Description</t>
  </si>
  <si>
    <t>Type I Error</t>
  </si>
  <si>
    <t>False positive</t>
  </si>
  <si>
    <t>Type II Error</t>
  </si>
  <si>
    <t>False negative</t>
  </si>
  <si>
    <t>Question 4</t>
  </si>
  <si>
    <t>Explain the difference between a one-tailed and two-tailed test. Give an example of each.</t>
  </si>
  <si>
    <r>
      <t xml:space="preserve">A </t>
    </r>
    <r>
      <rPr>
        <b/>
        <sz val="11"/>
        <color theme="1"/>
        <rFont val="Aptos Narrow"/>
        <family val="2"/>
        <scheme val="minor"/>
      </rPr>
      <t>one-tailed test</t>
    </r>
    <r>
      <rPr>
        <sz val="11"/>
        <color theme="1"/>
        <rFont val="Aptos Narrow"/>
        <family val="2"/>
        <scheme val="minor"/>
      </rPr>
      <t xml:space="preserve"> checks for an effect in </t>
    </r>
    <r>
      <rPr>
        <b/>
        <sz val="11"/>
        <color theme="1"/>
        <rFont val="Aptos Narrow"/>
        <family val="2"/>
        <scheme val="minor"/>
      </rPr>
      <t>only one direction</t>
    </r>
    <r>
      <rPr>
        <sz val="11"/>
        <color theme="1"/>
        <rFont val="Aptos Narrow"/>
        <family val="2"/>
        <scheme val="minor"/>
      </rPr>
      <t xml:space="preserve"> (either increase or decrease).</t>
    </r>
  </si>
  <si>
    <r>
      <t xml:space="preserve">Example: Testing whether the average marks are </t>
    </r>
    <r>
      <rPr>
        <b/>
        <sz val="11"/>
        <color theme="1"/>
        <rFont val="Aptos Narrow"/>
        <family val="2"/>
        <scheme val="minor"/>
      </rPr>
      <t>greater than</t>
    </r>
    <r>
      <rPr>
        <sz val="11"/>
        <color theme="1"/>
        <rFont val="Aptos Narrow"/>
        <family val="2"/>
        <scheme val="minor"/>
      </rPr>
      <t xml:space="preserve"> 70.</t>
    </r>
  </si>
  <si>
    <r>
      <t xml:space="preserve">A </t>
    </r>
    <r>
      <rPr>
        <b/>
        <sz val="11"/>
        <color theme="1"/>
        <rFont val="Aptos Narrow"/>
        <family val="2"/>
        <scheme val="minor"/>
      </rPr>
      <t>two-tailed test</t>
    </r>
    <r>
      <rPr>
        <sz val="11"/>
        <color theme="1"/>
        <rFont val="Aptos Narrow"/>
        <family val="2"/>
        <scheme val="minor"/>
      </rPr>
      <t xml:space="preserve"> checks for an effect in </t>
    </r>
    <r>
      <rPr>
        <b/>
        <sz val="11"/>
        <color theme="1"/>
        <rFont val="Aptos Narrow"/>
        <family val="2"/>
        <scheme val="minor"/>
      </rPr>
      <t>both directions</t>
    </r>
    <r>
      <rPr>
        <sz val="11"/>
        <color theme="1"/>
        <rFont val="Aptos Narrow"/>
        <family val="2"/>
        <scheme val="minor"/>
      </rPr>
      <t>.</t>
    </r>
  </si>
  <si>
    <r>
      <t xml:space="preserve">Example: Testing whether the average marks are </t>
    </r>
    <r>
      <rPr>
        <b/>
        <sz val="11"/>
        <color theme="1"/>
        <rFont val="Aptos Narrow"/>
        <family val="2"/>
        <scheme val="minor"/>
      </rPr>
      <t>different from</t>
    </r>
    <r>
      <rPr>
        <sz val="11"/>
        <color theme="1"/>
        <rFont val="Aptos Narrow"/>
        <family val="2"/>
        <scheme val="minor"/>
      </rPr>
      <t xml:space="preserve"> 70.</t>
    </r>
  </si>
  <si>
    <t>Two-tailed tests are more commonly used when there is no prior assumption about the direction of change.</t>
  </si>
  <si>
    <t>Question 5</t>
  </si>
  <si>
    <t>A company claims that the average time to resolve a customer complaint is 10 minutes. A random sample of 9 complaints gives an average time of 12 minutes and a standard deviation of 3 minutes. At α = 0.05, test the claim.</t>
  </si>
  <si>
    <r>
      <t xml:space="preserve">Since the sample size is small and population SD is unknown, a </t>
    </r>
    <r>
      <rPr>
        <b/>
        <sz val="11"/>
        <color theme="1"/>
        <rFont val="Aptos Narrow"/>
        <family val="2"/>
        <scheme val="minor"/>
      </rPr>
      <t>t-test</t>
    </r>
    <r>
      <rPr>
        <sz val="11"/>
        <color theme="1"/>
        <rFont val="Aptos Narrow"/>
        <family val="2"/>
        <scheme val="minor"/>
      </rPr>
      <t xml:space="preserve"> is used.</t>
    </r>
  </si>
  <si>
    <t>T-Test</t>
  </si>
  <si>
    <t>Parameter</t>
  </si>
  <si>
    <t>Value</t>
  </si>
  <si>
    <t>Sample Mean (x̄)</t>
  </si>
  <si>
    <t>Population Mean (μ)</t>
  </si>
  <si>
    <t>Standard Deviation (s)</t>
  </si>
  <si>
    <t>Sample Size (n)</t>
  </si>
  <si>
    <t>df = n - 1 = 8</t>
  </si>
  <si>
    <t>Since 0.08 &gt; 0.05 → Fail to reject H₀</t>
  </si>
  <si>
    <t>There is not enough evidence at the 5% significance level to reject the company’s claim.
The average complaint resolution time is not significantly different from 10 minutes.</t>
  </si>
  <si>
    <t>Question 6</t>
  </si>
  <si>
    <t>When should you use a Z-test instead of a t-test?</t>
  </si>
  <si>
    <t>Feature</t>
  </si>
  <si>
    <t>Z-Test</t>
  </si>
  <si>
    <t>t-Test</t>
  </si>
  <si>
    <t>Population standard deviation</t>
  </si>
  <si>
    <t>Known</t>
  </si>
  <si>
    <t>Unknown (use sample SD)</t>
  </si>
  <si>
    <t>Sample size</t>
  </si>
  <si>
    <t>Large (n ≥ 30)</t>
  </si>
  <si>
    <t>Small (n &lt; 30)</t>
  </si>
  <si>
    <t>Distribution used</t>
  </si>
  <si>
    <t>Standard normal (Z)</t>
  </si>
  <si>
    <t>Student’s t-distribution</t>
  </si>
  <si>
    <t>Example use</t>
  </si>
  <si>
    <t>Testing mean when σ is known</t>
  </si>
  <si>
    <t>Testing mean when σ is unknown and sample is small</t>
  </si>
  <si>
    <t>Summary</t>
  </si>
  <si>
    <t>Use when population SD is known or sample is large</t>
  </si>
  <si>
    <t>Use when population SD is unknown and sample is small</t>
  </si>
  <si>
    <t>Employee</t>
  </si>
  <si>
    <t>Before</t>
  </si>
  <si>
    <t>After</t>
  </si>
  <si>
    <t>Difference</t>
  </si>
  <si>
    <t>mean difference</t>
  </si>
  <si>
    <t>number of pairs</t>
  </si>
  <si>
    <t>std. deviation of differences</t>
  </si>
  <si>
    <t>t-statistic</t>
  </si>
  <si>
    <t>p-value</t>
  </si>
  <si>
    <t>DF</t>
  </si>
  <si>
    <r>
      <t xml:space="preserve">p-value = 0.0093 &lt; 0.05 → </t>
    </r>
    <r>
      <rPr>
        <b/>
        <sz val="11"/>
        <color theme="1"/>
        <rFont val="Aptos Narrow"/>
        <family val="2"/>
        <scheme val="minor"/>
      </rPr>
      <t>Reject H₀</t>
    </r>
  </si>
  <si>
    <r>
      <t xml:space="preserve">The training program </t>
    </r>
    <r>
      <rPr>
        <b/>
        <sz val="11"/>
        <color theme="1"/>
        <rFont val="Aptos Narrow"/>
        <family val="2"/>
        <scheme val="minor"/>
      </rPr>
      <t>significantly improved employee productivity</t>
    </r>
    <r>
      <rPr>
        <sz val="11"/>
        <color theme="1"/>
        <rFont val="Aptos Narrow"/>
        <family val="2"/>
        <scheme val="minor"/>
      </rPr>
      <t>. There is strong evidence that the mean productivity increased after training.</t>
    </r>
  </si>
  <si>
    <t>Question 7</t>
  </si>
  <si>
    <t>The productivity of 6 employees was measured before and after a training program</t>
  </si>
  <si>
    <t>At α = 0.05, test if the training improved productivity.</t>
  </si>
  <si>
    <t>Question 8</t>
  </si>
  <si>
    <t>A company wants to test if product preference is independent of gender.</t>
  </si>
  <si>
    <t>At α = 0.05, test independence</t>
  </si>
  <si>
    <t>Product A</t>
  </si>
  <si>
    <t>Product B</t>
  </si>
  <si>
    <t>Total</t>
  </si>
  <si>
    <t>Male</t>
  </si>
  <si>
    <t>Female</t>
  </si>
  <si>
    <t>Gender</t>
  </si>
  <si>
    <t>Calculate expected counts</t>
  </si>
  <si>
    <t>Expected = (Row Total * Column Total) / Grand Total</t>
  </si>
  <si>
    <t>Calculate Chi-Square components</t>
  </si>
  <si>
    <t>(O - E)^2 / E</t>
  </si>
  <si>
    <t>O = Observed value</t>
  </si>
  <si>
    <t>E = Expected value</t>
  </si>
  <si>
    <t>Total Chi-Square statistic</t>
  </si>
  <si>
    <t>p- value</t>
  </si>
  <si>
    <r>
      <t xml:space="preserve">0.000045 &lt; 0.05 → </t>
    </r>
    <r>
      <rPr>
        <b/>
        <sz val="11"/>
        <color theme="1"/>
        <rFont val="Aptos Narrow"/>
        <family val="2"/>
        <scheme val="minor"/>
      </rPr>
      <t>Reject H₀</t>
    </r>
  </si>
  <si>
    <r>
      <t xml:space="preserve">There is strong evidence at 5% significance level that </t>
    </r>
    <r>
      <rPr>
        <b/>
        <sz val="11"/>
        <color theme="1"/>
        <rFont val="Aptos Narrow"/>
        <family val="2"/>
        <scheme val="minor"/>
      </rPr>
      <t>gender and product preference are associated</t>
    </r>
    <r>
      <rPr>
        <sz val="11"/>
        <color theme="1"/>
        <rFont val="Aptos Narrow"/>
        <family val="2"/>
        <scheme val="minor"/>
      </rPr>
      <t>. Males and females have different preferences between Product A and Product B.</t>
    </r>
  </si>
  <si>
    <t>Hypothesis Testing Assignment</t>
  </si>
  <si>
    <t>p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</si>
</sst>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7" formatCode="0.00000000"/>
  </numFmts>
  <fonts count="5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36"/>
      <color rgb="FFFF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0" borderId="0" xfId="0" applyFont="1"/>
    <xf numFmtId="0" fontId="2" fillId="0" borderId="0" xfId="0" applyFont="1" applyAlignment="1">
      <alignment horizontal="left" vertical="center" indent="1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0" xfId="0" applyAlignment="1">
      <alignment horizontal="left" vertical="center" indent="1"/>
    </xf>
    <xf numFmtId="0" fontId="0" fillId="0" borderId="0" xfId="0" applyAlignment="1">
      <alignment wrapText="1"/>
    </xf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/>
    <xf numFmtId="0" fontId="2" fillId="0" borderId="1" xfId="0" applyFont="1" applyBorder="1"/>
    <xf numFmtId="0" fontId="2" fillId="0" borderId="2" xfId="0" applyFont="1" applyBorder="1"/>
    <xf numFmtId="0" fontId="0" fillId="0" borderId="2" xfId="0" applyBorder="1"/>
    <xf numFmtId="0" fontId="2" fillId="0" borderId="0" xfId="0" applyFont="1" applyBorder="1" applyAlignment="1">
      <alignment horizontal="center"/>
    </xf>
    <xf numFmtId="0" fontId="0" fillId="0" borderId="0" xfId="0" applyBorder="1"/>
    <xf numFmtId="2" fontId="0" fillId="0" borderId="1" xfId="0" applyNumberFormat="1" applyBorder="1"/>
    <xf numFmtId="2" fontId="0" fillId="0" borderId="0" xfId="0" applyNumberFormat="1"/>
    <xf numFmtId="177" fontId="0" fillId="0" borderId="0" xfId="0" applyNumberFormat="1"/>
    <xf numFmtId="0" fontId="3" fillId="0" borderId="0" xfId="0" applyFont="1"/>
    <xf numFmtId="0" fontId="4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1F3EB3-32F2-41D0-873D-580B4587D2E3}">
  <dimension ref="A2:Q13"/>
  <sheetViews>
    <sheetView tabSelected="1" workbookViewId="0">
      <selection activeCell="E2" sqref="E2"/>
    </sheetView>
  </sheetViews>
  <sheetFormatPr defaultRowHeight="14.4" x14ac:dyDescent="0.3"/>
  <sheetData>
    <row r="2" spans="1:17" ht="47.4" x14ac:dyDescent="0.9">
      <c r="G2" s="21" t="s">
        <v>95</v>
      </c>
      <c r="H2" s="21"/>
      <c r="I2" s="22"/>
      <c r="J2" s="22"/>
      <c r="K2" s="22"/>
      <c r="L2" s="22"/>
      <c r="M2" s="22"/>
      <c r="N2" s="22"/>
      <c r="O2" s="22"/>
      <c r="P2" s="22"/>
      <c r="Q2" s="22"/>
    </row>
    <row r="6" spans="1:17" ht="21" x14ac:dyDescent="0.4">
      <c r="A6" s="20" t="s">
        <v>0</v>
      </c>
      <c r="C6" t="s">
        <v>1</v>
      </c>
    </row>
    <row r="8" spans="1:17" ht="21" x14ac:dyDescent="0.4">
      <c r="A8" s="20" t="s">
        <v>2</v>
      </c>
      <c r="C8" t="s">
        <v>5</v>
      </c>
    </row>
    <row r="9" spans="1:17" x14ac:dyDescent="0.3">
      <c r="C9" t="s">
        <v>6</v>
      </c>
    </row>
    <row r="12" spans="1:17" x14ac:dyDescent="0.3">
      <c r="C12" t="s">
        <v>7</v>
      </c>
    </row>
    <row r="13" spans="1:17" x14ac:dyDescent="0.3">
      <c r="C13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44E4F3-7EA7-4567-9F44-56FCEDBCFF82}">
  <dimension ref="A3:C7"/>
  <sheetViews>
    <sheetView workbookViewId="0">
      <selection activeCell="A5" sqref="A5"/>
    </sheetView>
  </sheetViews>
  <sheetFormatPr defaultRowHeight="14.4" x14ac:dyDescent="0.3"/>
  <cols>
    <col min="1" max="1" width="14.77734375" bestFit="1" customWidth="1"/>
  </cols>
  <sheetData>
    <row r="3" spans="1:3" ht="21" x14ac:dyDescent="0.4">
      <c r="A3" s="20" t="s">
        <v>3</v>
      </c>
      <c r="C3" t="s">
        <v>4</v>
      </c>
    </row>
    <row r="5" spans="1:3" ht="21" x14ac:dyDescent="0.4">
      <c r="A5" s="20" t="s">
        <v>2</v>
      </c>
      <c r="C5" t="s">
        <v>9</v>
      </c>
    </row>
    <row r="7" spans="1:3" x14ac:dyDescent="0.3">
      <c r="C7" t="s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AB8D9B-0298-4D6F-A727-DE0BF8C39942}">
  <dimension ref="A3:D14"/>
  <sheetViews>
    <sheetView workbookViewId="0">
      <selection activeCell="A5" sqref="A5"/>
    </sheetView>
  </sheetViews>
  <sheetFormatPr defaultRowHeight="14.4" x14ac:dyDescent="0.3"/>
  <cols>
    <col min="1" max="1" width="14.77734375" bestFit="1" customWidth="1"/>
    <col min="3" max="3" width="19.109375" customWidth="1"/>
    <col min="4" max="4" width="13.77734375" customWidth="1"/>
  </cols>
  <sheetData>
    <row r="3" spans="1:4" ht="21" x14ac:dyDescent="0.4">
      <c r="A3" s="20" t="s">
        <v>11</v>
      </c>
      <c r="C3" t="s">
        <v>12</v>
      </c>
    </row>
    <row r="5" spans="1:4" ht="21" x14ac:dyDescent="0.4">
      <c r="A5" s="20" t="s">
        <v>2</v>
      </c>
      <c r="C5" s="1" t="s">
        <v>13</v>
      </c>
    </row>
    <row r="7" spans="1:4" x14ac:dyDescent="0.3">
      <c r="C7" s="2" t="s">
        <v>14</v>
      </c>
    </row>
    <row r="10" spans="1:4" x14ac:dyDescent="0.3">
      <c r="D10" s="1"/>
    </row>
    <row r="12" spans="1:4" ht="28.8" x14ac:dyDescent="0.3">
      <c r="C12" s="3" t="s">
        <v>15</v>
      </c>
      <c r="D12" s="3" t="s">
        <v>16</v>
      </c>
    </row>
    <row r="13" spans="1:4" ht="28.8" x14ac:dyDescent="0.3">
      <c r="C13" s="4" t="s">
        <v>17</v>
      </c>
      <c r="D13" s="4" t="s">
        <v>18</v>
      </c>
    </row>
    <row r="14" spans="1:4" ht="28.8" x14ac:dyDescent="0.3">
      <c r="C14" s="4" t="s">
        <v>19</v>
      </c>
      <c r="D14" s="4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8E48D5-BFCD-46D2-9404-4786243CE7F9}">
  <dimension ref="A2:C12"/>
  <sheetViews>
    <sheetView workbookViewId="0">
      <selection activeCell="C9" sqref="C9"/>
    </sheetView>
  </sheetViews>
  <sheetFormatPr defaultRowHeight="14.4" x14ac:dyDescent="0.3"/>
  <sheetData>
    <row r="2" spans="1:3" ht="21" x14ac:dyDescent="0.4">
      <c r="A2" s="20" t="s">
        <v>21</v>
      </c>
      <c r="C2" t="s">
        <v>22</v>
      </c>
    </row>
    <row r="4" spans="1:3" ht="21" x14ac:dyDescent="0.4">
      <c r="A4" s="20" t="s">
        <v>2</v>
      </c>
      <c r="C4" t="s">
        <v>23</v>
      </c>
    </row>
    <row r="5" spans="1:3" x14ac:dyDescent="0.3">
      <c r="C5" t="s">
        <v>24</v>
      </c>
    </row>
    <row r="8" spans="1:3" x14ac:dyDescent="0.3">
      <c r="C8" t="s">
        <v>25</v>
      </c>
    </row>
    <row r="9" spans="1:3" x14ac:dyDescent="0.3">
      <c r="C9" t="s">
        <v>26</v>
      </c>
    </row>
    <row r="12" spans="1:3" x14ac:dyDescent="0.3">
      <c r="C12" t="s">
        <v>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C2BB94-B357-4C66-A089-6ACB916E2CB8}">
  <dimension ref="A3:D26"/>
  <sheetViews>
    <sheetView workbookViewId="0">
      <selection activeCell="D1" sqref="D1"/>
    </sheetView>
  </sheetViews>
  <sheetFormatPr defaultRowHeight="14.4" x14ac:dyDescent="0.3"/>
  <cols>
    <col min="1" max="1" width="14.77734375" bestFit="1" customWidth="1"/>
    <col min="3" max="3" width="34.77734375" customWidth="1"/>
    <col min="4" max="4" width="15" customWidth="1"/>
  </cols>
  <sheetData>
    <row r="3" spans="1:4" ht="21" x14ac:dyDescent="0.4">
      <c r="A3" s="20" t="s">
        <v>28</v>
      </c>
      <c r="C3" t="s">
        <v>29</v>
      </c>
    </row>
    <row r="6" spans="1:4" ht="21" x14ac:dyDescent="0.4">
      <c r="A6" s="20" t="s">
        <v>2</v>
      </c>
      <c r="C6" s="8" t="s">
        <v>32</v>
      </c>
      <c r="D6" s="8" t="s">
        <v>33</v>
      </c>
    </row>
    <row r="7" spans="1:4" x14ac:dyDescent="0.3">
      <c r="C7" s="8" t="s">
        <v>34</v>
      </c>
      <c r="D7" s="8">
        <v>12</v>
      </c>
    </row>
    <row r="8" spans="1:4" x14ac:dyDescent="0.3">
      <c r="C8" s="8" t="s">
        <v>35</v>
      </c>
      <c r="D8" s="8">
        <v>10</v>
      </c>
    </row>
    <row r="9" spans="1:4" x14ac:dyDescent="0.3">
      <c r="C9" s="8" t="s">
        <v>36</v>
      </c>
      <c r="D9" s="8">
        <v>3</v>
      </c>
    </row>
    <row r="10" spans="1:4" x14ac:dyDescent="0.3">
      <c r="C10" s="8" t="s">
        <v>37</v>
      </c>
      <c r="D10" s="8">
        <v>9</v>
      </c>
    </row>
    <row r="11" spans="1:4" x14ac:dyDescent="0.3">
      <c r="C11" s="5"/>
    </row>
    <row r="12" spans="1:4" x14ac:dyDescent="0.3">
      <c r="C12" s="5"/>
    </row>
    <row r="13" spans="1:4" x14ac:dyDescent="0.3">
      <c r="C13" s="5"/>
    </row>
    <row r="14" spans="1:4" x14ac:dyDescent="0.3">
      <c r="C14" s="5"/>
    </row>
    <row r="16" spans="1:4" x14ac:dyDescent="0.3">
      <c r="C16" t="s">
        <v>30</v>
      </c>
    </row>
    <row r="18" spans="3:4" x14ac:dyDescent="0.3">
      <c r="C18" s="1" t="s">
        <v>31</v>
      </c>
      <c r="D18">
        <f>(D7-D8)/(D9/SQRT(D10))</f>
        <v>2</v>
      </c>
    </row>
    <row r="19" spans="3:4" x14ac:dyDescent="0.3">
      <c r="C19" t="s">
        <v>96</v>
      </c>
      <c r="D19">
        <f>2*_xlfn.T.DIST.RT(ABS(D18), 8)</f>
        <v>8.0516237957262621E-2</v>
      </c>
    </row>
    <row r="21" spans="3:4" x14ac:dyDescent="0.3">
      <c r="C21" t="s">
        <v>38</v>
      </c>
    </row>
    <row r="23" spans="3:4" x14ac:dyDescent="0.3">
      <c r="C23" t="s">
        <v>39</v>
      </c>
    </row>
    <row r="25" spans="3:4" x14ac:dyDescent="0.3">
      <c r="C25" s="6"/>
    </row>
    <row r="26" spans="3:4" ht="86.4" x14ac:dyDescent="0.3">
      <c r="C26" s="6" t="s">
        <v>40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D379FD-E707-42BF-BDD8-E9D0E3DCA0A1}">
  <dimension ref="A3:E11"/>
  <sheetViews>
    <sheetView workbookViewId="0">
      <selection activeCell="A6" sqref="A6"/>
    </sheetView>
  </sheetViews>
  <sheetFormatPr defaultRowHeight="14.4" x14ac:dyDescent="0.3"/>
  <cols>
    <col min="1" max="1" width="14.77734375" bestFit="1" customWidth="1"/>
    <col min="3" max="3" width="19.21875" customWidth="1"/>
    <col min="4" max="4" width="25.77734375" customWidth="1"/>
    <col min="5" max="5" width="26.33203125" customWidth="1"/>
  </cols>
  <sheetData>
    <row r="3" spans="1:5" ht="21" x14ac:dyDescent="0.4">
      <c r="A3" s="20" t="s">
        <v>41</v>
      </c>
      <c r="C3" t="s">
        <v>42</v>
      </c>
    </row>
    <row r="6" spans="1:5" ht="21" x14ac:dyDescent="0.4">
      <c r="A6" s="20" t="s">
        <v>2</v>
      </c>
      <c r="C6" s="3" t="s">
        <v>43</v>
      </c>
      <c r="D6" s="3" t="s">
        <v>44</v>
      </c>
      <c r="E6" s="3" t="s">
        <v>45</v>
      </c>
    </row>
    <row r="7" spans="1:5" ht="57.6" x14ac:dyDescent="0.3">
      <c r="C7" s="4" t="s">
        <v>46</v>
      </c>
      <c r="D7" s="4" t="s">
        <v>47</v>
      </c>
      <c r="E7" s="4" t="s">
        <v>48</v>
      </c>
    </row>
    <row r="8" spans="1:5" ht="28.8" x14ac:dyDescent="0.3">
      <c r="C8" s="4" t="s">
        <v>49</v>
      </c>
      <c r="D8" s="4" t="s">
        <v>50</v>
      </c>
      <c r="E8" s="4" t="s">
        <v>51</v>
      </c>
    </row>
    <row r="9" spans="1:5" ht="57.6" x14ac:dyDescent="0.3">
      <c r="C9" s="4" t="s">
        <v>52</v>
      </c>
      <c r="D9" s="4" t="s">
        <v>53</v>
      </c>
      <c r="E9" s="4" t="s">
        <v>54</v>
      </c>
    </row>
    <row r="10" spans="1:5" ht="100.8" x14ac:dyDescent="0.3">
      <c r="C10" s="4" t="s">
        <v>55</v>
      </c>
      <c r="D10" s="4" t="s">
        <v>56</v>
      </c>
      <c r="E10" s="4" t="s">
        <v>57</v>
      </c>
    </row>
    <row r="11" spans="1:5" ht="115.2" x14ac:dyDescent="0.3">
      <c r="C11" s="4" t="s">
        <v>58</v>
      </c>
      <c r="D11" s="4" t="s">
        <v>59</v>
      </c>
      <c r="E11" s="4" t="s">
        <v>60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A635BE-7F20-49C6-9AF5-9AA28D828E00}">
  <dimension ref="A2:I22"/>
  <sheetViews>
    <sheetView workbookViewId="0">
      <selection activeCell="B18" sqref="B18"/>
    </sheetView>
  </sheetViews>
  <sheetFormatPr defaultRowHeight="14.4" x14ac:dyDescent="0.3"/>
  <cols>
    <col min="1" max="1" width="14.77734375" bestFit="1" customWidth="1"/>
    <col min="3" max="3" width="11.88671875" customWidth="1"/>
    <col min="4" max="4" width="7.109375" bestFit="1" customWidth="1"/>
    <col min="8" max="8" width="27.6640625" customWidth="1"/>
    <col min="9" max="9" width="13.77734375" customWidth="1"/>
  </cols>
  <sheetData>
    <row r="2" spans="1:9" ht="21" x14ac:dyDescent="0.4">
      <c r="A2" s="20" t="s">
        <v>73</v>
      </c>
      <c r="C2" t="s">
        <v>74</v>
      </c>
    </row>
    <row r="3" spans="1:9" x14ac:dyDescent="0.3">
      <c r="C3" t="s">
        <v>75</v>
      </c>
    </row>
    <row r="7" spans="1:9" ht="21" x14ac:dyDescent="0.4">
      <c r="A7" s="20" t="s">
        <v>2</v>
      </c>
      <c r="C7" s="10" t="s">
        <v>61</v>
      </c>
      <c r="D7" s="10" t="s">
        <v>62</v>
      </c>
      <c r="E7" s="10" t="s">
        <v>63</v>
      </c>
      <c r="F7" s="10" t="s">
        <v>64</v>
      </c>
    </row>
    <row r="8" spans="1:9" x14ac:dyDescent="0.3">
      <c r="C8" s="9">
        <v>1</v>
      </c>
      <c r="D8" s="9">
        <v>50</v>
      </c>
      <c r="E8" s="9">
        <v>55</v>
      </c>
      <c r="F8" s="9">
        <f>E8-D8</f>
        <v>5</v>
      </c>
      <c r="H8" s="7" t="s">
        <v>65</v>
      </c>
      <c r="I8" s="7">
        <f>AVERAGE(F8:F13)</f>
        <v>3</v>
      </c>
    </row>
    <row r="9" spans="1:9" x14ac:dyDescent="0.3">
      <c r="C9" s="9">
        <v>2</v>
      </c>
      <c r="D9" s="9">
        <v>60</v>
      </c>
      <c r="E9" s="9">
        <v>65</v>
      </c>
      <c r="F9" s="9">
        <f>E9-D9</f>
        <v>5</v>
      </c>
      <c r="H9" s="7" t="s">
        <v>66</v>
      </c>
      <c r="I9" s="7">
        <f>COUNT(F8:F13)</f>
        <v>6</v>
      </c>
    </row>
    <row r="10" spans="1:9" x14ac:dyDescent="0.3">
      <c r="C10" s="9">
        <v>3</v>
      </c>
      <c r="D10" s="9">
        <v>58</v>
      </c>
      <c r="E10" s="9">
        <v>59</v>
      </c>
      <c r="F10" s="9">
        <f t="shared" ref="F10:F13" si="0">E10-D10</f>
        <v>1</v>
      </c>
      <c r="H10" s="7" t="s">
        <v>67</v>
      </c>
      <c r="I10" s="7">
        <f>_xlfn.STDEV.S(F8:F13)</f>
        <v>1.7888543819998317</v>
      </c>
    </row>
    <row r="11" spans="1:9" x14ac:dyDescent="0.3">
      <c r="C11" s="9">
        <v>4</v>
      </c>
      <c r="D11" s="9">
        <v>55</v>
      </c>
      <c r="E11" s="9">
        <v>58</v>
      </c>
      <c r="F11" s="9">
        <f t="shared" si="0"/>
        <v>3</v>
      </c>
    </row>
    <row r="12" spans="1:9" x14ac:dyDescent="0.3">
      <c r="C12" s="9">
        <v>5</v>
      </c>
      <c r="D12" s="9">
        <v>62</v>
      </c>
      <c r="E12" s="9">
        <v>63</v>
      </c>
      <c r="F12" s="9">
        <f t="shared" si="0"/>
        <v>1</v>
      </c>
    </row>
    <row r="13" spans="1:9" x14ac:dyDescent="0.3">
      <c r="C13" s="9">
        <v>6</v>
      </c>
      <c r="D13" s="9">
        <v>56</v>
      </c>
      <c r="E13" s="9">
        <v>59</v>
      </c>
      <c r="F13" s="9">
        <f t="shared" si="0"/>
        <v>3</v>
      </c>
    </row>
    <row r="16" spans="1:9" x14ac:dyDescent="0.3">
      <c r="C16" s="7" t="s">
        <v>68</v>
      </c>
      <c r="D16" s="7">
        <f>I8/(I10/SQRT(I9))</f>
        <v>4.1079191812887457</v>
      </c>
    </row>
    <row r="17" spans="3:4" x14ac:dyDescent="0.3">
      <c r="C17" s="7" t="s">
        <v>70</v>
      </c>
      <c r="D17" s="7">
        <f>I9-1</f>
        <v>5</v>
      </c>
    </row>
    <row r="18" spans="3:4" x14ac:dyDescent="0.3">
      <c r="C18" t="s">
        <v>69</v>
      </c>
      <c r="D18">
        <f>2*_xlfn.T.DIST.RT(ABS(D16), D17)</f>
        <v>9.2827050347379387E-3</v>
      </c>
    </row>
    <row r="20" spans="3:4" x14ac:dyDescent="0.3">
      <c r="C20" t="s">
        <v>71</v>
      </c>
    </row>
    <row r="22" spans="3:4" x14ac:dyDescent="0.3">
      <c r="C22" t="s">
        <v>72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8BA8B-055D-4EC1-8665-4FF49EEB47A8}">
  <dimension ref="A2:G32"/>
  <sheetViews>
    <sheetView zoomScale="90" zoomScaleNormal="90" workbookViewId="0">
      <selection activeCell="S6" sqref="S6"/>
    </sheetView>
  </sheetViews>
  <sheetFormatPr defaultRowHeight="14.4" x14ac:dyDescent="0.3"/>
  <cols>
    <col min="6" max="6" width="12" bestFit="1" customWidth="1"/>
    <col min="7" max="7" width="9.5546875" bestFit="1" customWidth="1"/>
  </cols>
  <sheetData>
    <row r="2" spans="1:7" ht="21" x14ac:dyDescent="0.4">
      <c r="A2" s="20" t="s">
        <v>76</v>
      </c>
      <c r="C2" t="s">
        <v>77</v>
      </c>
    </row>
    <row r="3" spans="1:7" x14ac:dyDescent="0.3">
      <c r="C3" t="s">
        <v>78</v>
      </c>
    </row>
    <row r="6" spans="1:7" x14ac:dyDescent="0.3">
      <c r="C6" s="12" t="s">
        <v>84</v>
      </c>
      <c r="D6" s="12" t="s">
        <v>79</v>
      </c>
      <c r="E6" s="12" t="s">
        <v>80</v>
      </c>
      <c r="F6" s="10" t="s">
        <v>81</v>
      </c>
    </row>
    <row r="7" spans="1:7" x14ac:dyDescent="0.3">
      <c r="C7" s="11" t="s">
        <v>82</v>
      </c>
      <c r="D7" s="11">
        <v>30</v>
      </c>
      <c r="E7" s="11">
        <v>20</v>
      </c>
      <c r="F7" s="11">
        <v>50</v>
      </c>
    </row>
    <row r="8" spans="1:7" x14ac:dyDescent="0.3">
      <c r="C8" s="11" t="s">
        <v>83</v>
      </c>
      <c r="D8" s="11">
        <v>10</v>
      </c>
      <c r="E8" s="11">
        <v>40</v>
      </c>
      <c r="F8" s="11">
        <v>50</v>
      </c>
      <c r="G8" s="7"/>
    </row>
    <row r="9" spans="1:7" x14ac:dyDescent="0.3">
      <c r="C9" s="11" t="s">
        <v>81</v>
      </c>
      <c r="D9" s="11">
        <v>40</v>
      </c>
      <c r="E9" s="11">
        <v>60</v>
      </c>
      <c r="F9" s="11">
        <v>100</v>
      </c>
    </row>
    <row r="12" spans="1:7" ht="21" x14ac:dyDescent="0.4">
      <c r="A12" s="20" t="s">
        <v>2</v>
      </c>
      <c r="C12" t="s">
        <v>85</v>
      </c>
    </row>
    <row r="13" spans="1:7" x14ac:dyDescent="0.3">
      <c r="C13" t="s">
        <v>86</v>
      </c>
    </row>
    <row r="15" spans="1:7" x14ac:dyDescent="0.3">
      <c r="C15" s="12" t="s">
        <v>84</v>
      </c>
      <c r="D15" s="13" t="s">
        <v>79</v>
      </c>
      <c r="E15" s="12" t="s">
        <v>80</v>
      </c>
      <c r="F15" s="15"/>
    </row>
    <row r="16" spans="1:7" x14ac:dyDescent="0.3">
      <c r="C16" s="11" t="s">
        <v>82</v>
      </c>
      <c r="D16" s="14">
        <f>F7*D9/F9</f>
        <v>20</v>
      </c>
      <c r="E16" s="11">
        <f>F7*E9/F9</f>
        <v>30</v>
      </c>
      <c r="F16" s="16"/>
    </row>
    <row r="17" spans="3:7" x14ac:dyDescent="0.3">
      <c r="C17" s="11" t="s">
        <v>83</v>
      </c>
      <c r="D17" s="11">
        <f>F8*D9/F9</f>
        <v>20</v>
      </c>
      <c r="E17" s="11">
        <f>F8*E9/F9</f>
        <v>30</v>
      </c>
      <c r="F17" s="16"/>
    </row>
    <row r="18" spans="3:7" x14ac:dyDescent="0.3">
      <c r="C18" s="16"/>
      <c r="D18" s="16"/>
      <c r="E18" s="16"/>
      <c r="F18" s="16"/>
    </row>
    <row r="19" spans="3:7" x14ac:dyDescent="0.3">
      <c r="C19" t="s">
        <v>87</v>
      </c>
    </row>
    <row r="20" spans="3:7" x14ac:dyDescent="0.3">
      <c r="C20" t="s">
        <v>88</v>
      </c>
    </row>
    <row r="21" spans="3:7" x14ac:dyDescent="0.3">
      <c r="C21" t="s">
        <v>89</v>
      </c>
    </row>
    <row r="23" spans="3:7" x14ac:dyDescent="0.3">
      <c r="C23" t="s">
        <v>90</v>
      </c>
    </row>
    <row r="24" spans="3:7" x14ac:dyDescent="0.3">
      <c r="E24" s="12" t="s">
        <v>84</v>
      </c>
      <c r="F24" s="13" t="s">
        <v>79</v>
      </c>
      <c r="G24" s="12" t="s">
        <v>80</v>
      </c>
    </row>
    <row r="25" spans="3:7" x14ac:dyDescent="0.3">
      <c r="E25" s="11" t="s">
        <v>82</v>
      </c>
      <c r="F25" s="14">
        <f>(D7-D16)^2/D16</f>
        <v>5</v>
      </c>
      <c r="G25" s="17">
        <f>(E7-E16)^2/E16</f>
        <v>3.3333333333333335</v>
      </c>
    </row>
    <row r="26" spans="3:7" x14ac:dyDescent="0.3">
      <c r="E26" s="11" t="s">
        <v>83</v>
      </c>
      <c r="F26" s="14">
        <f>(D8-D17)^2/D17</f>
        <v>5</v>
      </c>
      <c r="G26" s="17">
        <f>(E8-E17)^2/E17</f>
        <v>3.3333333333333335</v>
      </c>
    </row>
    <row r="28" spans="3:7" x14ac:dyDescent="0.3">
      <c r="C28" t="s">
        <v>91</v>
      </c>
      <c r="F28" s="18">
        <f>SUM(F25,G25,F26,G26)</f>
        <v>16.666666666666668</v>
      </c>
    </row>
    <row r="29" spans="3:7" x14ac:dyDescent="0.3">
      <c r="C29" t="s">
        <v>92</v>
      </c>
      <c r="F29" s="19">
        <f>_xlfn.CHISQ.DIST.RT(F28,1)</f>
        <v>4.4557090604056044E-5</v>
      </c>
    </row>
    <row r="31" spans="3:7" x14ac:dyDescent="0.3">
      <c r="D31" t="s">
        <v>93</v>
      </c>
    </row>
    <row r="32" spans="3:7" x14ac:dyDescent="0.3">
      <c r="D32" t="s">
        <v>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Q1</vt:lpstr>
      <vt:lpstr>Q2</vt:lpstr>
      <vt:lpstr>Q3</vt:lpstr>
      <vt:lpstr>Q4</vt:lpstr>
      <vt:lpstr>Q5</vt:lpstr>
      <vt:lpstr>Q6</vt:lpstr>
      <vt:lpstr>Q7</vt:lpstr>
      <vt:lpstr>Q8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Dolsy Sabharwal</dc:creator>
  <cp:lastModifiedBy>Dolsy Sabharwal</cp:lastModifiedBy>
  <dcterms:created xsi:type="dcterms:W3CDTF">2026-01-28T11:59:14Z</dcterms:created>
  <dcterms:modified xsi:type="dcterms:W3CDTF">2026-01-28T13:46:30Z</dcterms:modified>
</cp:coreProperties>
</file>